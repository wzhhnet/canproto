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canproto\"/>
    </mc:Choice>
  </mc:AlternateContent>
  <xr:revisionPtr revIDLastSave="0" documentId="13_ncr:1_{07653CF9-DB78-48FB-9037-9E86C92240B1}" xr6:coauthVersionLast="47" xr6:coauthVersionMax="47" xr10:uidLastSave="{00000000-0000-0000-0000-000000000000}"/>
  <bookViews>
    <workbookView xWindow="-120" yWindow="-120" windowWidth="29040" windowHeight="15840" activeTab="1" xr2:uid="{DB5CC19F-6441-4C0B-9F8E-14D1809314AD}"/>
  </bookViews>
  <sheets>
    <sheet name="History" sheetId="4" r:id="rId1"/>
    <sheet name="CanLayout" sheetId="1" r:id="rId2"/>
    <sheet name="template" sheetId="3" state="hidden" r:id="rId3"/>
  </sheets>
  <functionGroups builtInGroupCount="19"/>
  <definedNames>
    <definedName name="_xlnm._FilterDatabase" localSheetId="1" hidden="1">CanLayout!$K$4:$K$11</definedName>
    <definedName name="CanProtocol">CanLayout!$A$4:$L$11</definedName>
    <definedName name="FrameTemp">template!$A$1:$L$8</definedName>
    <definedName name="_xlnm.Extract" localSheetId="1">CanLayout!#REF!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J2" i="3" s="1"/>
  <c r="J1" i="3"/>
  <c r="D1" i="3"/>
  <c r="H1" i="3" s="1"/>
  <c r="B1" i="3"/>
  <c r="B4" i="1"/>
  <c r="D4" i="1"/>
  <c r="H4" i="1" s="1"/>
  <c r="J4" i="1"/>
  <c r="F5" i="1" s="1"/>
  <c r="D2" i="3" l="1"/>
  <c r="F3" i="3"/>
  <c r="H2" i="3"/>
  <c r="D3" i="3" s="1"/>
  <c r="D5" i="1"/>
  <c r="J3" i="3" l="1"/>
  <c r="H3" i="3"/>
  <c r="J5" i="1"/>
  <c r="H5" i="1"/>
  <c r="F4" i="3" l="1"/>
  <c r="D4" i="3"/>
  <c r="D6" i="1"/>
  <c r="F6" i="1"/>
  <c r="J4" i="3" l="1"/>
  <c r="H4" i="3"/>
  <c r="H6" i="1"/>
  <c r="J6" i="1"/>
  <c r="D7" i="1" l="1"/>
  <c r="F7" i="1"/>
  <c r="F5" i="3"/>
  <c r="D5" i="3"/>
  <c r="H7" i="1" l="1"/>
  <c r="J7" i="1"/>
  <c r="J5" i="3"/>
  <c r="H5" i="3"/>
  <c r="D8" i="1" l="1"/>
  <c r="F8" i="1"/>
  <c r="F6" i="3"/>
  <c r="D6" i="3"/>
  <c r="J8" i="1" l="1"/>
  <c r="H8" i="1"/>
  <c r="H6" i="3"/>
  <c r="J6" i="3"/>
  <c r="F7" i="3" l="1"/>
  <c r="D7" i="3"/>
  <c r="D9" i="1"/>
  <c r="F9" i="1"/>
  <c r="J7" i="3" l="1"/>
  <c r="H7" i="3"/>
  <c r="H9" i="1"/>
  <c r="J9" i="1"/>
  <c r="F8" i="3" l="1"/>
  <c r="D8" i="3"/>
  <c r="F10" i="1"/>
  <c r="D10" i="1"/>
  <c r="J8" i="3" l="1"/>
  <c r="H8" i="3"/>
  <c r="J10" i="1"/>
  <c r="H10" i="1"/>
  <c r="F11" i="1" l="1"/>
  <c r="D11" i="1"/>
  <c r="J11" i="1" l="1"/>
  <c r="H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B1" authorId="0" shapeId="0" xr:uid="{C7E4C287-D063-4A96-9B59-DF1F98500262}">
      <text>
        <r>
          <rPr>
            <sz val="9"/>
            <color indexed="81"/>
            <rFont val="宋体"/>
            <family val="3"/>
            <charset val="134"/>
          </rPr>
          <t xml:space="preserve">Generated file shall be named with this protocol.
</t>
        </r>
      </text>
    </comment>
    <comment ref="L4" authorId="0" shapeId="0" xr:uid="{79A50160-3AA9-452F-A31E-A505ECD9E81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万朝晖</author>
  </authors>
  <commentList>
    <comment ref="L1" authorId="0" shapeId="0" xr:uid="{F8651AA6-C486-48D4-8B8F-B2B5DD4F26C8}">
      <text>
        <r>
          <rPr>
            <b/>
            <sz val="9"/>
            <color indexed="81"/>
            <rFont val="宋体"/>
            <family val="3"/>
            <charset val="134"/>
          </rPr>
          <t>Do not remove this row</t>
        </r>
      </text>
    </comment>
  </commentList>
</comments>
</file>

<file path=xl/sharedStrings.xml><?xml version="1.0" encoding="utf-8"?>
<sst xmlns="http://schemas.openxmlformats.org/spreadsheetml/2006/main" count="92" uniqueCount="40">
  <si>
    <t>End</t>
    <phoneticPr fontId="3"/>
  </si>
  <si>
    <t>Start</t>
    <phoneticPr fontId="3"/>
  </si>
  <si>
    <t>Byte:Bit</t>
    <phoneticPr fontId="3"/>
  </si>
  <si>
    <t>Description</t>
    <phoneticPr fontId="3"/>
  </si>
  <si>
    <t>:</t>
    <phoneticPr fontId="3"/>
  </si>
  <si>
    <t>-</t>
    <phoneticPr fontId="3"/>
  </si>
  <si>
    <t>:</t>
  </si>
  <si>
    <t>:</t>
    <phoneticPr fontId="1" type="noConversion"/>
  </si>
  <si>
    <t>-</t>
    <phoneticPr fontId="1" type="noConversion"/>
  </si>
  <si>
    <t>Bits</t>
    <phoneticPr fontId="1" type="noConversion"/>
  </si>
  <si>
    <t>field_1</t>
    <phoneticPr fontId="3"/>
  </si>
  <si>
    <t>field_2</t>
    <phoneticPr fontId="1" type="noConversion"/>
  </si>
  <si>
    <t>field_3</t>
    <phoneticPr fontId="1" type="noConversion"/>
  </si>
  <si>
    <t>field_4</t>
    <phoneticPr fontId="1" type="noConversion"/>
  </si>
  <si>
    <t>field_5</t>
    <phoneticPr fontId="1" type="noConversion"/>
  </si>
  <si>
    <t>field_6</t>
    <phoneticPr fontId="1" type="noConversion"/>
  </si>
  <si>
    <t>field_7</t>
    <phoneticPr fontId="1" type="noConversion"/>
  </si>
  <si>
    <t>field_8</t>
    <phoneticPr fontId="1" type="noConversion"/>
  </si>
  <si>
    <t>Signal</t>
    <phoneticPr fontId="3"/>
  </si>
  <si>
    <t>Frame</t>
    <phoneticPr fontId="1" type="noConversion"/>
  </si>
  <si>
    <t>Protocol</t>
    <phoneticPr fontId="1" type="noConversion"/>
  </si>
  <si>
    <t>sample</t>
    <phoneticPr fontId="1" type="noConversion"/>
  </si>
  <si>
    <t>NewFrame</t>
    <phoneticPr fontId="1" type="noConversion"/>
  </si>
  <si>
    <t>Length</t>
    <phoneticPr fontId="1" type="noConversion"/>
  </si>
  <si>
    <t>frame01</t>
    <phoneticPr fontId="1" type="noConversion"/>
  </si>
  <si>
    <t>2, Use "Add Frame" to add a frame.</t>
    <phoneticPr fontId="1" type="noConversion"/>
  </si>
  <si>
    <t>3, Don't try to delete the first line of each frame, just modify it.</t>
    <phoneticPr fontId="1" type="noConversion"/>
  </si>
  <si>
    <t>4, Do not modify cells except the green cells.</t>
    <phoneticPr fontId="1" type="noConversion"/>
  </si>
  <si>
    <t>5, Use "Generate Code" to generate the C source code.</t>
    <phoneticPr fontId="1" type="noConversion"/>
  </si>
  <si>
    <t>1, Run Excel Macro.</t>
    <phoneticPr fontId="1" type="noConversion"/>
  </si>
  <si>
    <t>6. The current version only supports big-endian</t>
    <phoneticPr fontId="1" type="noConversion"/>
  </si>
  <si>
    <t>NOTES:</t>
    <phoneticPr fontId="1" type="noConversion"/>
  </si>
  <si>
    <t>Contents</t>
    <phoneticPr fontId="1" type="noConversion"/>
  </si>
  <si>
    <t>No.</t>
    <phoneticPr fontId="1" type="noConversion"/>
  </si>
  <si>
    <t>Date</t>
    <phoneticPr fontId="1" type="noConversion"/>
  </si>
  <si>
    <t>Author</t>
    <phoneticPr fontId="1" type="noConversion"/>
  </si>
  <si>
    <t>Initial release</t>
    <phoneticPr fontId="1" type="noConversion"/>
  </si>
  <si>
    <t>wanch</t>
    <phoneticPr fontId="1" type="noConversion"/>
  </si>
  <si>
    <t>Compatible with LibreOffice on Linux</t>
    <phoneticPr fontId="1" type="noConversion"/>
  </si>
  <si>
    <t>wanch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</si>
</sst>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Calibri"/>
      <family val="2"/>
    </font>
    <font>
      <sz val="6"/>
      <name val="等线"/>
      <family val="2"/>
      <charset val="128"/>
      <scheme val="minor"/>
    </font>
    <font>
      <sz val="1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0"/>
      <color rgb="FFFF0000"/>
      <name val="等线"/>
      <family val="2"/>
      <charset val="134"/>
      <scheme val="minor"/>
    </font>
    <font>
      <sz val="10"/>
      <color rgb="FFFF0000"/>
      <name val="等线"/>
      <family val="3"/>
      <charset val="134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4C6E7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2" borderId="8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vertical="top"/>
    </xf>
    <xf numFmtId="0" fontId="4" fillId="4" borderId="4" xfId="0" applyFont="1" applyFill="1" applyBorder="1" applyAlignment="1">
      <alignment vertical="top"/>
    </xf>
    <xf numFmtId="0" fontId="4" fillId="4" borderId="6" xfId="0" applyFont="1" applyFill="1" applyBorder="1" applyAlignment="1">
      <alignment vertical="top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top"/>
    </xf>
    <xf numFmtId="0" fontId="5" fillId="5" borderId="17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vertical="top"/>
    </xf>
    <xf numFmtId="0" fontId="4" fillId="4" borderId="24" xfId="0" applyFont="1" applyFill="1" applyBorder="1" applyAlignment="1">
      <alignment vertical="top"/>
    </xf>
    <xf numFmtId="0" fontId="4" fillId="4" borderId="25" xfId="0" applyFont="1" applyFill="1" applyBorder="1" applyAlignment="1">
      <alignment vertical="top"/>
    </xf>
    <xf numFmtId="0" fontId="6" fillId="4" borderId="22" xfId="0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14" fontId="13" fillId="0" borderId="2" xfId="0" applyNumberFormat="1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27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3" fillId="0" borderId="23" xfId="0" applyFont="1" applyBorder="1" applyAlignment="1">
      <alignment horizontal="left" vertical="center"/>
    </xf>
    <xf numFmtId="0" fontId="13" fillId="0" borderId="28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13" fillId="0" borderId="29" xfId="0" applyFont="1" applyBorder="1" applyAlignment="1">
      <alignment horizontal="left" vertical="center"/>
    </xf>
    <xf numFmtId="0" fontId="13" fillId="0" borderId="25" xfId="0" applyFont="1" applyBorder="1" applyAlignment="1">
      <alignment horizontal="left" vertical="center"/>
    </xf>
    <xf numFmtId="14" fontId="13" fillId="0" borderId="4" xfId="0" applyNumberFormat="1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0" fontId="4" fillId="3" borderId="5" xfId="0" applyFont="1" applyFill="1" applyBorder="1" applyAlignment="1">
      <alignment horizontal="center" vertical="top"/>
    </xf>
    <xf numFmtId="49" fontId="4" fillId="4" borderId="14" xfId="0" applyNumberFormat="1" applyFont="1" applyFill="1" applyBorder="1" applyAlignment="1">
      <alignment horizontal="center" vertical="top" wrapText="1"/>
    </xf>
    <xf numFmtId="49" fontId="4" fillId="4" borderId="19" xfId="0" applyNumberFormat="1" applyFont="1" applyFill="1" applyBorder="1" applyAlignment="1">
      <alignment horizontal="center" vertical="top" wrapText="1"/>
    </xf>
    <xf numFmtId="49" fontId="4" fillId="4" borderId="20" xfId="0" applyNumberFormat="1" applyFont="1" applyFill="1" applyBorder="1" applyAlignment="1">
      <alignment horizontal="center" vertical="top" wrapText="1"/>
    </xf>
    <xf numFmtId="0" fontId="2" fillId="2" borderId="14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top"/>
    </xf>
    <xf numFmtId="0" fontId="2" fillId="2" borderId="12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8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/>
    </xf>
    <xf numFmtId="0" fontId="2" fillId="2" borderId="9" xfId="0" applyFont="1" applyFill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4" fillId="4" borderId="14" xfId="0" applyFont="1" applyFill="1" applyBorder="1" applyAlignment="1">
      <alignment horizontal="center" vertical="top" wrapText="1"/>
    </xf>
    <xf numFmtId="0" fontId="4" fillId="4" borderId="19" xfId="0" applyFont="1" applyFill="1" applyBorder="1" applyAlignment="1">
      <alignment horizontal="center" vertical="top" wrapText="1"/>
    </xf>
    <xf numFmtId="0" fontId="4" fillId="4" borderId="20" xfId="0" applyFont="1" applyFill="1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19050</xdr:rowOff>
        </xdr:from>
        <xdr:to>
          <xdr:col>10</xdr:col>
          <xdr:colOff>161925</xdr:colOff>
          <xdr:row>0</xdr:row>
          <xdr:rowOff>342900</xdr:rowOff>
        </xdr:to>
        <xdr:sp macro="" textlink="">
          <xdr:nvSpPr>
            <xdr:cNvPr id="1025" name="Gen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5</xdr:col>
          <xdr:colOff>76200</xdr:colOff>
          <xdr:row>0</xdr:row>
          <xdr:rowOff>342900</xdr:rowOff>
        </xdr:to>
        <xdr:sp macro="" textlink="">
          <xdr:nvSpPr>
            <xdr:cNvPr id="1029" name="AddFr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C3932-50BF-43A7-AAAA-08753DC39C8D}">
  <sheetPr codeName="Sheet2"/>
  <dimension ref="A1:D7"/>
  <sheetViews>
    <sheetView workbookViewId="0">
      <selection activeCell="A2" sqref="A2"/>
    </sheetView>
  </sheetViews>
  <sheetFormatPr defaultRowHeight="14.25" x14ac:dyDescent="0.2"/>
  <cols>
    <col min="1" max="1" width="4.25" bestFit="1" customWidth="1"/>
    <col min="2" max="2" width="9.125" bestFit="1" customWidth="1"/>
    <col min="3" max="3" width="32.5" bestFit="1" customWidth="1"/>
    <col min="4" max="4" width="6.875" bestFit="1" customWidth="1"/>
  </cols>
  <sheetData>
    <row r="1" spans="1:4" ht="15.75" thickBot="1" x14ac:dyDescent="0.25">
      <c r="A1" s="18" t="s">
        <v>33</v>
      </c>
      <c r="B1" s="27" t="s">
        <v>34</v>
      </c>
      <c r="C1" s="27" t="s">
        <v>32</v>
      </c>
      <c r="D1" s="28" t="s">
        <v>35</v>
      </c>
    </row>
    <row r="2" spans="1:4" ht="15" x14ac:dyDescent="0.2">
      <c r="A2" s="32">
        <v>1</v>
      </c>
      <c r="B2" s="29">
        <v>44993</v>
      </c>
      <c r="C2" s="33" t="s">
        <v>36</v>
      </c>
      <c r="D2" s="34" t="s">
        <v>37</v>
      </c>
    </row>
    <row r="3" spans="1:4" ht="15" x14ac:dyDescent="0.2">
      <c r="A3" s="35">
        <v>2</v>
      </c>
      <c r="B3" s="39">
        <v>44995</v>
      </c>
      <c r="C3" s="30" t="s">
        <v>38</v>
      </c>
      <c r="D3" s="36" t="s">
        <v>39</v>
      </c>
    </row>
    <row r="4" spans="1:4" ht="15" x14ac:dyDescent="0.2">
      <c r="A4" s="35"/>
      <c r="B4" s="30"/>
      <c r="C4" s="30"/>
      <c r="D4" s="36"/>
    </row>
    <row r="5" spans="1:4" ht="15" x14ac:dyDescent="0.2">
      <c r="A5" s="35"/>
      <c r="B5" s="30"/>
      <c r="C5" s="30"/>
      <c r="D5" s="36"/>
    </row>
    <row r="6" spans="1:4" ht="15" x14ac:dyDescent="0.2">
      <c r="A6" s="35"/>
      <c r="B6" s="30"/>
      <c r="C6" s="30"/>
      <c r="D6" s="36"/>
    </row>
    <row r="7" spans="1:4" ht="15.75" thickBot="1" x14ac:dyDescent="0.25">
      <c r="A7" s="37"/>
      <c r="B7" s="31"/>
      <c r="C7" s="31"/>
      <c r="D7" s="3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75BEB-0F39-4F4D-A4FF-BD97E9FB4DA7}">
  <sheetPr codeName="Sheet1" filterMode="1"/>
  <dimension ref="A1:AG11"/>
  <sheetViews>
    <sheetView showGridLines="0" tabSelected="1" workbookViewId="0"/>
  </sheetViews>
  <sheetFormatPr defaultRowHeight="14.25" x14ac:dyDescent="0.2"/>
  <cols>
    <col min="1" max="1" width="13.625" customWidth="1"/>
    <col min="2" max="2" width="11.625" customWidth="1"/>
    <col min="4" max="4" width="3.5" customWidth="1"/>
    <col min="5" max="5" width="1.875" bestFit="1" customWidth="1"/>
    <col min="6" max="6" width="3.5" customWidth="1"/>
    <col min="7" max="7" width="2" bestFit="1" customWidth="1"/>
    <col min="8" max="8" width="3.5" customWidth="1"/>
    <col min="9" max="9" width="1.875" bestFit="1" customWidth="1"/>
    <col min="10" max="10" width="3.5" customWidth="1"/>
    <col min="11" max="11" width="14.375" bestFit="1" customWidth="1"/>
    <col min="12" max="12" width="22.75" customWidth="1"/>
    <col min="15" max="16" width="10.5" bestFit="1" customWidth="1"/>
    <col min="21" max="21" width="10.5" bestFit="1" customWidth="1"/>
  </cols>
  <sheetData>
    <row r="1" spans="1:33" ht="29.25" customHeight="1" thickBot="1" x14ac:dyDescent="0.25">
      <c r="A1" s="18" t="s">
        <v>20</v>
      </c>
      <c r="B1" s="22" t="s">
        <v>21</v>
      </c>
    </row>
    <row r="2" spans="1:33" x14ac:dyDescent="0.2">
      <c r="A2" s="50" t="s">
        <v>19</v>
      </c>
      <c r="B2" s="40" t="s">
        <v>23</v>
      </c>
      <c r="C2" s="52" t="s">
        <v>9</v>
      </c>
      <c r="D2" s="54" t="s">
        <v>0</v>
      </c>
      <c r="E2" s="55"/>
      <c r="F2" s="56"/>
      <c r="G2" s="17"/>
      <c r="H2" s="55" t="s">
        <v>1</v>
      </c>
      <c r="I2" s="55"/>
      <c r="J2" s="57"/>
      <c r="K2" s="40" t="s">
        <v>18</v>
      </c>
      <c r="L2" s="42" t="s">
        <v>3</v>
      </c>
      <c r="N2" s="24" t="s">
        <v>31</v>
      </c>
    </row>
    <row r="3" spans="1:33" ht="15" thickBot="1" x14ac:dyDescent="0.25">
      <c r="A3" s="51"/>
      <c r="B3" s="41"/>
      <c r="C3" s="53"/>
      <c r="D3" s="58" t="s">
        <v>2</v>
      </c>
      <c r="E3" s="59"/>
      <c r="F3" s="59"/>
      <c r="G3" s="1"/>
      <c r="H3" s="60" t="s">
        <v>2</v>
      </c>
      <c r="I3" s="59"/>
      <c r="J3" s="61"/>
      <c r="K3" s="41"/>
      <c r="L3" s="43"/>
      <c r="N3" s="25" t="s">
        <v>29</v>
      </c>
    </row>
    <row r="4" spans="1:33" s="23" customFormat="1" x14ac:dyDescent="0.2">
      <c r="A4" s="47" t="s">
        <v>24</v>
      </c>
      <c r="B4" s="44">
        <f>SUM(C4:C11)</f>
        <v>64</v>
      </c>
      <c r="C4" s="14">
        <v>8</v>
      </c>
      <c r="D4" s="2">
        <f>0</f>
        <v>0</v>
      </c>
      <c r="E4" s="4" t="s">
        <v>4</v>
      </c>
      <c r="F4" s="3">
        <v>7</v>
      </c>
      <c r="G4" s="4" t="s">
        <v>5</v>
      </c>
      <c r="H4" s="2">
        <f>IF(MOD(C4,8)=0,IF(F4+1=8,D4+QUOTIENT(C4,8)-1,D4+QUOTIENT(C4,8)),IF(MOD(C4,8)&lt;=F4+1,D4+QUOTIENT(C4,8),D4+QUOTIENT(C4,8)+1))</f>
        <v>0</v>
      </c>
      <c r="I4" s="4" t="s">
        <v>4</v>
      </c>
      <c r="J4" s="3">
        <f>IF(MOD(C4,8)=0,IF(F4=7,0,F4+1),IF(MOD(C4,8)&gt;F4+1,F4+1+8-MOD(C4,8),F4+1-MOD(C4,8)))</f>
        <v>0</v>
      </c>
      <c r="K4" s="11" t="s">
        <v>10</v>
      </c>
      <c r="L4" s="19"/>
      <c r="N4" s="25" t="s">
        <v>25</v>
      </c>
      <c r="AG4"/>
    </row>
    <row r="5" spans="1:33" s="23" customFormat="1" ht="14.25" customHeight="1" x14ac:dyDescent="0.2">
      <c r="A5" s="48"/>
      <c r="B5" s="45"/>
      <c r="C5" s="15">
        <v>8</v>
      </c>
      <c r="D5" s="9">
        <f>IF(J4=0,H4+1,H4)</f>
        <v>1</v>
      </c>
      <c r="E5" s="5" t="s">
        <v>4</v>
      </c>
      <c r="F5" s="7">
        <f>IF(J4&gt;0,J4-1,7)</f>
        <v>7</v>
      </c>
      <c r="G5" s="5" t="s">
        <v>8</v>
      </c>
      <c r="H5" s="9">
        <f t="shared" ref="H5:H11" si="0">IF(MOD(C5,8)=0,IF(F5+1=8,D5+QUOTIENT(C5,8)-1,D5+QUOTIENT(C5,8)),IF(MOD(C5,8)&lt;=F5+1,D5+QUOTIENT(C5,8),D5+QUOTIENT(C5,8)+1))</f>
        <v>1</v>
      </c>
      <c r="I5" s="5" t="s">
        <v>7</v>
      </c>
      <c r="J5" s="7">
        <f t="shared" ref="J5:J11" si="1">IF(MOD(C5,8)=0,IF(F5=7,0,F5+1),IF(MOD(C5,8)&gt;F5+1,F5+1+8-MOD(C5,8),F5+1-MOD(C5,8)))</f>
        <v>0</v>
      </c>
      <c r="K5" s="12" t="s">
        <v>11</v>
      </c>
      <c r="L5" s="20"/>
      <c r="N5" s="26" t="s">
        <v>26</v>
      </c>
      <c r="AG5"/>
    </row>
    <row r="6" spans="1:33" s="23" customFormat="1" ht="14.25" customHeight="1" x14ac:dyDescent="0.2">
      <c r="A6" s="48"/>
      <c r="B6" s="45"/>
      <c r="C6" s="15">
        <v>8</v>
      </c>
      <c r="D6" s="9">
        <f t="shared" ref="D6" si="2">IF(J5=0,H5+1,H5)</f>
        <v>2</v>
      </c>
      <c r="E6" s="5" t="s">
        <v>4</v>
      </c>
      <c r="F6" s="7">
        <f t="shared" ref="F6" si="3">IF(J5&gt;0,J5-1,7)</f>
        <v>7</v>
      </c>
      <c r="G6" s="5" t="s">
        <v>8</v>
      </c>
      <c r="H6" s="9">
        <f t="shared" ref="H6:H10" si="4">IF(MOD(C6,8)=0,IF(F6+1=8,D6+QUOTIENT(C6,8)-1,D6+QUOTIENT(C6,8)),IF(MOD(C6,8)&lt;=F6+1,D6+QUOTIENT(C6,8),D6+QUOTIENT(C6,8)+1))</f>
        <v>2</v>
      </c>
      <c r="I6" s="5" t="s">
        <v>7</v>
      </c>
      <c r="J6" s="7">
        <f t="shared" ref="J6:J10" si="5">IF(MOD(C6,8)=0,IF(F6=7,0,F6+1),IF(MOD(C6,8)&gt;F6+1,F6+1+8-MOD(C6,8),F6+1-MOD(C6,8)))</f>
        <v>0</v>
      </c>
      <c r="K6" s="12" t="s">
        <v>12</v>
      </c>
      <c r="L6" s="20"/>
      <c r="N6" s="26" t="s">
        <v>27</v>
      </c>
      <c r="AG6"/>
    </row>
    <row r="7" spans="1:33" s="23" customFormat="1" ht="14.25" customHeight="1" x14ac:dyDescent="0.2">
      <c r="A7" s="48"/>
      <c r="B7" s="45"/>
      <c r="C7" s="15">
        <v>8</v>
      </c>
      <c r="D7" s="9">
        <f>IF(J6=0,H6+1,H6)</f>
        <v>3</v>
      </c>
      <c r="E7" s="5" t="s">
        <v>4</v>
      </c>
      <c r="F7" s="7">
        <f>IF(J6&gt;0,J6-1,7)</f>
        <v>7</v>
      </c>
      <c r="G7" s="5" t="s">
        <v>8</v>
      </c>
      <c r="H7" s="9">
        <f t="shared" si="4"/>
        <v>3</v>
      </c>
      <c r="I7" s="5" t="s">
        <v>7</v>
      </c>
      <c r="J7" s="7">
        <f t="shared" si="5"/>
        <v>0</v>
      </c>
      <c r="K7" s="12" t="s">
        <v>13</v>
      </c>
      <c r="L7" s="20"/>
      <c r="N7" s="26" t="s">
        <v>28</v>
      </c>
      <c r="AG7"/>
    </row>
    <row r="8" spans="1:33" s="23" customFormat="1" ht="14.25" customHeight="1" x14ac:dyDescent="0.2">
      <c r="A8" s="48"/>
      <c r="B8" s="45"/>
      <c r="C8" s="15">
        <v>8</v>
      </c>
      <c r="D8" s="9">
        <f>IF(J7=0,H7+1,H7)</f>
        <v>4</v>
      </c>
      <c r="E8" s="5" t="s">
        <v>4</v>
      </c>
      <c r="F8" s="7">
        <f>IF(J7&gt;0,J7-1,7)</f>
        <v>7</v>
      </c>
      <c r="G8" s="5" t="s">
        <v>8</v>
      </c>
      <c r="H8" s="9">
        <f t="shared" si="4"/>
        <v>4</v>
      </c>
      <c r="I8" s="5" t="s">
        <v>7</v>
      </c>
      <c r="J8" s="7">
        <f t="shared" si="5"/>
        <v>0</v>
      </c>
      <c r="K8" s="12" t="s">
        <v>14</v>
      </c>
      <c r="L8" s="20"/>
      <c r="N8" s="26" t="s">
        <v>30</v>
      </c>
      <c r="AG8"/>
    </row>
    <row r="9" spans="1:33" s="23" customFormat="1" ht="14.25" customHeight="1" x14ac:dyDescent="0.2">
      <c r="A9" s="48"/>
      <c r="B9" s="45"/>
      <c r="C9" s="15">
        <v>8</v>
      </c>
      <c r="D9" s="9">
        <f>IF(J8=0,H8+1,H8)</f>
        <v>5</v>
      </c>
      <c r="E9" s="5" t="s">
        <v>4</v>
      </c>
      <c r="F9" s="7">
        <f>IF(J8&gt;0,J8-1,7)</f>
        <v>7</v>
      </c>
      <c r="G9" s="5" t="s">
        <v>8</v>
      </c>
      <c r="H9" s="9">
        <f t="shared" si="4"/>
        <v>5</v>
      </c>
      <c r="I9" s="5" t="s">
        <v>7</v>
      </c>
      <c r="J9" s="7">
        <f t="shared" si="5"/>
        <v>0</v>
      </c>
      <c r="K9" s="12" t="s">
        <v>15</v>
      </c>
      <c r="L9" s="20"/>
      <c r="AG9"/>
    </row>
    <row r="10" spans="1:33" s="23" customFormat="1" x14ac:dyDescent="0.2">
      <c r="A10" s="48"/>
      <c r="B10" s="45"/>
      <c r="C10" s="15">
        <v>8</v>
      </c>
      <c r="D10" s="9">
        <f>IF(J9=0,H9+1,H9)</f>
        <v>6</v>
      </c>
      <c r="E10" s="5" t="s">
        <v>4</v>
      </c>
      <c r="F10" s="7">
        <f>IF(J9&gt;0,J9-1,7)</f>
        <v>7</v>
      </c>
      <c r="G10" s="5" t="s">
        <v>8</v>
      </c>
      <c r="H10" s="9">
        <f t="shared" si="4"/>
        <v>6</v>
      </c>
      <c r="I10" s="5" t="s">
        <v>7</v>
      </c>
      <c r="J10" s="7">
        <f t="shared" si="5"/>
        <v>0</v>
      </c>
      <c r="K10" s="12" t="s">
        <v>16</v>
      </c>
      <c r="L10" s="20"/>
      <c r="AG10"/>
    </row>
    <row r="11" spans="1:33" s="23" customFormat="1" ht="15" thickBot="1" x14ac:dyDescent="0.25">
      <c r="A11" s="49"/>
      <c r="B11" s="46"/>
      <c r="C11" s="16">
        <v>8</v>
      </c>
      <c r="D11" s="10">
        <f>IF(J10=0,H10+1,H10)</f>
        <v>7</v>
      </c>
      <c r="E11" s="6" t="s">
        <v>6</v>
      </c>
      <c r="F11" s="8">
        <f>IF(J10&gt;0,J10-1,7)</f>
        <v>7</v>
      </c>
      <c r="G11" s="6" t="s">
        <v>8</v>
      </c>
      <c r="H11" s="10">
        <f t="shared" si="0"/>
        <v>7</v>
      </c>
      <c r="I11" s="6" t="s">
        <v>6</v>
      </c>
      <c r="J11" s="8">
        <f t="shared" si="1"/>
        <v>0</v>
      </c>
      <c r="K11" s="13" t="s">
        <v>17</v>
      </c>
      <c r="L11" s="21"/>
      <c r="AG11"/>
    </row>
  </sheetData>
  <mergeCells count="11">
    <mergeCell ref="K2:K3"/>
    <mergeCell ref="L2:L3"/>
    <mergeCell ref="B4:B11"/>
    <mergeCell ref="A4:A11"/>
    <mergeCell ref="A2:A3"/>
    <mergeCell ref="B2:B3"/>
    <mergeCell ref="C2:C3"/>
    <mergeCell ref="D2:F2"/>
    <mergeCell ref="H2:J2"/>
    <mergeCell ref="D3:F3"/>
    <mergeCell ref="H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AddFrame">
          <controlPr defaultSize="0" autoLine="0" autoPict="0" r:id="rId4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5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1029" r:id="rId3" name="AddFrame"/>
      </mc:Fallback>
    </mc:AlternateContent>
    <mc:AlternateContent xmlns:mc="http://schemas.openxmlformats.org/markup-compatibility/2006">
      <mc:Choice Requires="x14">
        <control shapeId="1025" r:id="rId5" name="GenBtn">
          <controlPr defaultSize="0" autoLine="0" r:id="rId6">
            <anchor moveWithCells="1">
              <from>
                <xdr:col>5</xdr:col>
                <xdr:colOff>114300</xdr:colOff>
                <xdr:row>0</xdr:row>
                <xdr:rowOff>19050</xdr:rowOff>
              </from>
              <to>
                <xdr:col>10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1025" r:id="rId5" name="Gen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F69-BB4E-4D40-9E6E-5C020B3AAD87}">
  <sheetPr codeName="Sheet3"/>
  <dimension ref="A1:L8"/>
  <sheetViews>
    <sheetView workbookViewId="0">
      <selection activeCell="C12" sqref="C12"/>
    </sheetView>
  </sheetViews>
  <sheetFormatPr defaultRowHeight="14.25" x14ac:dyDescent="0.2"/>
  <cols>
    <col min="4" max="10" width="3" customWidth="1"/>
    <col min="12" max="12" width="16.75" customWidth="1"/>
  </cols>
  <sheetData>
    <row r="1" spans="1:12" x14ac:dyDescent="0.2">
      <c r="A1" s="62" t="s">
        <v>22</v>
      </c>
      <c r="B1" s="44">
        <f>SUM(C1:C8)</f>
        <v>64</v>
      </c>
      <c r="C1" s="14">
        <v>8</v>
      </c>
      <c r="D1" s="2">
        <f>0</f>
        <v>0</v>
      </c>
      <c r="E1" s="4" t="s">
        <v>4</v>
      </c>
      <c r="F1" s="3">
        <v>7</v>
      </c>
      <c r="G1" s="4" t="s">
        <v>5</v>
      </c>
      <c r="H1" s="2">
        <f>IF(MOD(C1,8)=0,IF(F1+1=8,D1+QUOTIENT(C1,8)-1,D1+QUOTIENT(C1,8)),IF(MOD(C1,8)&lt;=F1+1,D1+QUOTIENT(C1,8),D1+QUOTIENT(C1,8)+1))</f>
        <v>0</v>
      </c>
      <c r="I1" s="4" t="s">
        <v>4</v>
      </c>
      <c r="J1" s="3">
        <f>IF(MOD(C1,8)=0,IF(F1=7,0,F1+1),IF(MOD(C1,8)&gt;F1+1,F1+1+8-MOD(C1,8),F1+1-MOD(C1,8)))</f>
        <v>0</v>
      </c>
      <c r="K1" s="11" t="s">
        <v>10</v>
      </c>
      <c r="L1" s="19"/>
    </row>
    <row r="2" spans="1:12" x14ac:dyDescent="0.2">
      <c r="A2" s="63"/>
      <c r="B2" s="45"/>
      <c r="C2" s="15">
        <v>8</v>
      </c>
      <c r="D2" s="9">
        <f>IF(J1=0,H1+1,H1)</f>
        <v>1</v>
      </c>
      <c r="E2" s="5" t="s">
        <v>4</v>
      </c>
      <c r="F2" s="7">
        <f>IF(J1&gt;0,J1-1,7)</f>
        <v>7</v>
      </c>
      <c r="G2" s="5" t="s">
        <v>8</v>
      </c>
      <c r="H2" s="9">
        <f t="shared" ref="H2:H8" si="0">IF(MOD(C2,8)=0,IF(F2+1=8,D2+QUOTIENT(C2,8)-1,D2+QUOTIENT(C2,8)),IF(MOD(C2,8)&lt;=F2+1,D2+QUOTIENT(C2,8),D2+QUOTIENT(C2,8)+1))</f>
        <v>1</v>
      </c>
      <c r="I2" s="5" t="s">
        <v>7</v>
      </c>
      <c r="J2" s="7">
        <f t="shared" ref="J2:J8" si="1">IF(MOD(C2,8)=0,IF(F2=7,0,F2+1),IF(MOD(C2,8)&gt;F2+1,F2+1+8-MOD(C2,8),F2+1-MOD(C2,8)))</f>
        <v>0</v>
      </c>
      <c r="K2" s="12" t="s">
        <v>11</v>
      </c>
      <c r="L2" s="20"/>
    </row>
    <row r="3" spans="1:12" x14ac:dyDescent="0.2">
      <c r="A3" s="63"/>
      <c r="B3" s="45"/>
      <c r="C3" s="15">
        <v>8</v>
      </c>
      <c r="D3" s="9">
        <f t="shared" ref="D3:D4" si="2">IF(J2=0,H2+1,H2)</f>
        <v>2</v>
      </c>
      <c r="E3" s="5" t="s">
        <v>4</v>
      </c>
      <c r="F3" s="7">
        <f t="shared" ref="F3:F4" si="3">IF(J2&gt;0,J2-1,7)</f>
        <v>7</v>
      </c>
      <c r="G3" s="5" t="s">
        <v>8</v>
      </c>
      <c r="H3" s="9">
        <f t="shared" si="0"/>
        <v>2</v>
      </c>
      <c r="I3" s="5" t="s">
        <v>7</v>
      </c>
      <c r="J3" s="7">
        <f t="shared" si="1"/>
        <v>0</v>
      </c>
      <c r="K3" s="12" t="s">
        <v>12</v>
      </c>
      <c r="L3" s="20"/>
    </row>
    <row r="4" spans="1:12" x14ac:dyDescent="0.2">
      <c r="A4" s="63"/>
      <c r="B4" s="45"/>
      <c r="C4" s="15">
        <v>8</v>
      </c>
      <c r="D4" s="9">
        <f t="shared" si="2"/>
        <v>3</v>
      </c>
      <c r="E4" s="5" t="s">
        <v>4</v>
      </c>
      <c r="F4" s="7">
        <f t="shared" si="3"/>
        <v>7</v>
      </c>
      <c r="G4" s="5" t="s">
        <v>8</v>
      </c>
      <c r="H4" s="9">
        <f t="shared" si="0"/>
        <v>3</v>
      </c>
      <c r="I4" s="5" t="s">
        <v>7</v>
      </c>
      <c r="J4" s="7">
        <f t="shared" si="1"/>
        <v>0</v>
      </c>
      <c r="K4" s="12" t="s">
        <v>13</v>
      </c>
      <c r="L4" s="20"/>
    </row>
    <row r="5" spans="1:12" x14ac:dyDescent="0.2">
      <c r="A5" s="63"/>
      <c r="B5" s="45"/>
      <c r="C5" s="15">
        <v>8</v>
      </c>
      <c r="D5" s="9">
        <f>IF(J4=0,H4+1,H4)</f>
        <v>4</v>
      </c>
      <c r="E5" s="5" t="s">
        <v>4</v>
      </c>
      <c r="F5" s="7">
        <f>IF(J4&gt;0,J4-1,7)</f>
        <v>7</v>
      </c>
      <c r="G5" s="5" t="s">
        <v>8</v>
      </c>
      <c r="H5" s="9">
        <f t="shared" si="0"/>
        <v>4</v>
      </c>
      <c r="I5" s="5" t="s">
        <v>7</v>
      </c>
      <c r="J5" s="7">
        <f t="shared" si="1"/>
        <v>0</v>
      </c>
      <c r="K5" s="12" t="s">
        <v>14</v>
      </c>
      <c r="L5" s="20"/>
    </row>
    <row r="6" spans="1:12" x14ac:dyDescent="0.2">
      <c r="A6" s="63"/>
      <c r="B6" s="45"/>
      <c r="C6" s="15">
        <v>8</v>
      </c>
      <c r="D6" s="9">
        <f>IF(J5=0,H5+1,H5)</f>
        <v>5</v>
      </c>
      <c r="E6" s="5" t="s">
        <v>4</v>
      </c>
      <c r="F6" s="7">
        <f>IF(J5&gt;0,J5-1,7)</f>
        <v>7</v>
      </c>
      <c r="G6" s="5" t="s">
        <v>8</v>
      </c>
      <c r="H6" s="9">
        <f t="shared" si="0"/>
        <v>5</v>
      </c>
      <c r="I6" s="5" t="s">
        <v>7</v>
      </c>
      <c r="J6" s="7">
        <f t="shared" si="1"/>
        <v>0</v>
      </c>
      <c r="K6" s="12" t="s">
        <v>15</v>
      </c>
      <c r="L6" s="20"/>
    </row>
    <row r="7" spans="1:12" x14ac:dyDescent="0.2">
      <c r="A7" s="63"/>
      <c r="B7" s="45"/>
      <c r="C7" s="15">
        <v>8</v>
      </c>
      <c r="D7" s="9">
        <f>IF(J6=0,H6+1,H6)</f>
        <v>6</v>
      </c>
      <c r="E7" s="5" t="s">
        <v>4</v>
      </c>
      <c r="F7" s="7">
        <f>IF(J6&gt;0,J6-1,7)</f>
        <v>7</v>
      </c>
      <c r="G7" s="5" t="s">
        <v>8</v>
      </c>
      <c r="H7" s="9">
        <f t="shared" si="0"/>
        <v>6</v>
      </c>
      <c r="I7" s="5" t="s">
        <v>7</v>
      </c>
      <c r="J7" s="7">
        <f t="shared" si="1"/>
        <v>0</v>
      </c>
      <c r="K7" s="12" t="s">
        <v>16</v>
      </c>
      <c r="L7" s="20"/>
    </row>
    <row r="8" spans="1:12" ht="15" thickBot="1" x14ac:dyDescent="0.25">
      <c r="A8" s="64"/>
      <c r="B8" s="46"/>
      <c r="C8" s="16">
        <v>8</v>
      </c>
      <c r="D8" s="10">
        <f>IF(J7=0,H7+1,H7)</f>
        <v>7</v>
      </c>
      <c r="E8" s="6" t="s">
        <v>6</v>
      </c>
      <c r="F8" s="8">
        <f>IF(J7&gt;0,J7-1,7)</f>
        <v>7</v>
      </c>
      <c r="G8" s="6" t="s">
        <v>8</v>
      </c>
      <c r="H8" s="10">
        <f t="shared" si="0"/>
        <v>7</v>
      </c>
      <c r="I8" s="6" t="s">
        <v>6</v>
      </c>
      <c r="J8" s="8">
        <f t="shared" si="1"/>
        <v>0</v>
      </c>
      <c r="K8" s="13" t="s">
        <v>17</v>
      </c>
      <c r="L8" s="21"/>
    </row>
  </sheetData>
  <mergeCells count="2">
    <mergeCell ref="A1:A8"/>
    <mergeCell ref="B1:B8"/>
  </mergeCells>
  <phoneticPr fontId="1" type="noConversion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4AD1DF-F366-430D-86B2-9C5EF957BB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History</vt:lpstr>
      <vt:lpstr>CanLayout</vt:lpstr>
      <vt:lpstr>template</vt:lpstr>
      <vt:lpstr>CanProtocol</vt:lpstr>
      <vt:lpstr>FrameTemp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万朝晖</dc:creator>
  <cp:lastModifiedBy>万朝晖</cp:lastModifiedBy>
  <dcterms:created xsi:type="dcterms:W3CDTF">2023-02-27T07:04:01Z</dcterms:created>
  <dcterms:modified xsi:type="dcterms:W3CDTF">2023-03-10T08:50:35Z</dcterms:modified>
</cp:coreProperties>
</file>